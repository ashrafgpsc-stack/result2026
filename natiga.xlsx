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-120" yWindow="-120" windowWidth="20640" windowHeight="11040" activeTab="1"/>
  </bookViews>
  <sheets>
    <sheet name="الصف الاول" sheetId="3" r:id="rId1"/>
    <sheet name="الصف الثانى" sheetId="8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8" l="1"/>
  <c r="G4" i="8"/>
  <c r="G5" i="8"/>
  <c r="G6" i="8"/>
  <c r="G2" i="8"/>
  <c r="F3" i="8"/>
  <c r="F4" i="8"/>
  <c r="F5" i="8"/>
  <c r="F6" i="8"/>
  <c r="F2" i="8"/>
  <c r="E3" i="8"/>
  <c r="E4" i="8"/>
  <c r="E5" i="8"/>
  <c r="E6" i="8"/>
  <c r="E2" i="8"/>
  <c r="G2" i="3"/>
  <c r="J2" i="3" s="1"/>
  <c r="K2" i="3" s="1"/>
  <c r="J3" i="3"/>
  <c r="K3" i="3" s="1"/>
  <c r="J4" i="3"/>
  <c r="K4" i="3" s="1"/>
  <c r="J5" i="3"/>
  <c r="K5" i="3" s="1"/>
  <c r="J6" i="3"/>
  <c r="K6" i="3" s="1"/>
</calcChain>
</file>

<file path=xl/sharedStrings.xml><?xml version="1.0" encoding="utf-8"?>
<sst xmlns="http://schemas.openxmlformats.org/spreadsheetml/2006/main" count="48" uniqueCount="35">
  <si>
    <t>رقم الجلوس</t>
  </si>
  <si>
    <t>المجموع</t>
  </si>
  <si>
    <t>اللغة العربية</t>
  </si>
  <si>
    <t>اللغة الإنجليزية</t>
  </si>
  <si>
    <t>الكيمياء</t>
  </si>
  <si>
    <t>الفيزياء</t>
  </si>
  <si>
    <t>الأحياء</t>
  </si>
  <si>
    <t>مواد تضاف للمجموع</t>
  </si>
  <si>
    <t>مواد لا تضاف للمجموع</t>
  </si>
  <si>
    <t>التربية الدينية</t>
  </si>
  <si>
    <t>التربية الوطنية</t>
  </si>
  <si>
    <t>التكنولوجيا</t>
  </si>
  <si>
    <t>النسبة المئوية</t>
  </si>
  <si>
    <t>الصف الأول</t>
  </si>
  <si>
    <t>إبراهيم محمد حمدى</t>
  </si>
  <si>
    <t>احمد السيد السيد</t>
  </si>
  <si>
    <t>ادهم حسن ممدوح</t>
  </si>
  <si>
    <t>التميمى التميمى متولى</t>
  </si>
  <si>
    <t>امير سلامه عبدالعظيم</t>
  </si>
  <si>
    <t>الصف</t>
  </si>
  <si>
    <t>اسم الطالب</t>
  </si>
  <si>
    <t>الحالة</t>
  </si>
  <si>
    <t>راسب</t>
  </si>
  <si>
    <t>ناجح</t>
  </si>
  <si>
    <t>رقم الموظف</t>
  </si>
  <si>
    <t>القسم</t>
  </si>
  <si>
    <t>الاستقبال</t>
  </si>
  <si>
    <t>الإدارة</t>
  </si>
  <si>
    <t>الموارد</t>
  </si>
  <si>
    <t>الأرشيف</t>
  </si>
  <si>
    <t>العمالة</t>
  </si>
  <si>
    <t>اجمالي الراتب</t>
  </si>
  <si>
    <t>المستقطع</t>
  </si>
  <si>
    <t>الإضافات</t>
  </si>
  <si>
    <t>الصافي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</si>
</sst>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6"/>
  <sheetViews>
    <sheetView rightToLeft="1" workbookViewId="0">
      <selection activeCell="C18" sqref="C18"/>
    </sheetView>
  </sheetViews>
  <sheetFormatPr defaultRowHeight="14.25" x14ac:dyDescent="0.2"/>
  <cols>
    <col min="1" max="1" width="7.75" bestFit="1" customWidth="1"/>
    <col min="2" max="2" width="8.5" bestFit="1" customWidth="1"/>
    <col min="3" max="3" width="15" customWidth="1"/>
    <col min="11" max="11" width="10.75" bestFit="1" customWidth="1"/>
  </cols>
  <sheetData>
    <row r="1" spans="1:16" x14ac:dyDescent="0.2">
      <c r="A1" t="s">
        <v>0</v>
      </c>
      <c r="B1" t="s">
        <v>19</v>
      </c>
      <c r="C1" t="s">
        <v>20</v>
      </c>
      <c r="D1" t="s">
        <v>7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1</v>
      </c>
      <c r="K1" t="s">
        <v>12</v>
      </c>
      <c r="L1" t="s">
        <v>8</v>
      </c>
      <c r="M1" t="s">
        <v>9</v>
      </c>
      <c r="N1" t="s">
        <v>10</v>
      </c>
      <c r="O1" t="s">
        <v>11</v>
      </c>
      <c r="P1" t="s">
        <v>21</v>
      </c>
    </row>
    <row r="2" spans="1:16" x14ac:dyDescent="0.2">
      <c r="A2">
        <v>101</v>
      </c>
      <c r="B2" t="s">
        <v>13</v>
      </c>
      <c r="C2" t="s">
        <v>14</v>
      </c>
      <c r="E2">
        <v>50</v>
      </c>
      <c r="F2">
        <v>50</v>
      </c>
      <c r="G2">
        <f>23+56</f>
        <v>79</v>
      </c>
      <c r="H2">
        <v>42</v>
      </c>
      <c r="I2">
        <v>50</v>
      </c>
      <c r="J2">
        <f>SUM(E2:I2)</f>
        <v>271</v>
      </c>
      <c r="K2" s="1">
        <f>J2/250*100</f>
        <v>108.4</v>
      </c>
      <c r="M2">
        <v>50</v>
      </c>
      <c r="N2">
        <v>49</v>
      </c>
      <c r="O2">
        <v>42</v>
      </c>
      <c r="P2" t="s">
        <v>23</v>
      </c>
    </row>
    <row r="3" spans="1:16" x14ac:dyDescent="0.2">
      <c r="A3">
        <v>102</v>
      </c>
      <c r="B3" t="s">
        <v>13</v>
      </c>
      <c r="C3" t="s">
        <v>15</v>
      </c>
      <c r="E3">
        <v>49.5</v>
      </c>
      <c r="F3">
        <v>50</v>
      </c>
      <c r="G3">
        <v>50</v>
      </c>
      <c r="H3">
        <v>48</v>
      </c>
      <c r="I3">
        <v>49</v>
      </c>
      <c r="J3">
        <f>SUM(E3:I3)</f>
        <v>246.5</v>
      </c>
      <c r="K3">
        <f t="shared" ref="K3:K6" si="0">J3/250*100</f>
        <v>98.6</v>
      </c>
      <c r="M3">
        <v>50</v>
      </c>
      <c r="N3">
        <v>50</v>
      </c>
      <c r="O3">
        <v>48</v>
      </c>
      <c r="P3" t="s">
        <v>22</v>
      </c>
    </row>
    <row r="4" spans="1:16" x14ac:dyDescent="0.2">
      <c r="A4">
        <v>103</v>
      </c>
      <c r="B4" t="s">
        <v>13</v>
      </c>
      <c r="C4" t="s">
        <v>16</v>
      </c>
      <c r="E4">
        <v>49</v>
      </c>
      <c r="F4">
        <v>50</v>
      </c>
      <c r="G4">
        <v>50</v>
      </c>
      <c r="H4">
        <v>50</v>
      </c>
      <c r="I4">
        <v>48</v>
      </c>
      <c r="J4">
        <f>SUM(E4:I4)</f>
        <v>247</v>
      </c>
      <c r="K4">
        <f t="shared" si="0"/>
        <v>98.8</v>
      </c>
      <c r="M4">
        <v>50</v>
      </c>
      <c r="N4">
        <v>50</v>
      </c>
      <c r="O4">
        <v>50</v>
      </c>
      <c r="P4" t="s">
        <v>23</v>
      </c>
    </row>
    <row r="5" spans="1:16" x14ac:dyDescent="0.2">
      <c r="A5">
        <v>104</v>
      </c>
      <c r="B5" t="s">
        <v>13</v>
      </c>
      <c r="C5" t="s">
        <v>17</v>
      </c>
      <c r="E5">
        <v>48.5</v>
      </c>
      <c r="F5">
        <v>50</v>
      </c>
      <c r="G5">
        <v>42</v>
      </c>
      <c r="H5">
        <v>43</v>
      </c>
      <c r="I5">
        <v>47</v>
      </c>
      <c r="J5">
        <f>SUM(E5:I5)</f>
        <v>230.5</v>
      </c>
      <c r="K5">
        <f t="shared" si="0"/>
        <v>92.2</v>
      </c>
      <c r="M5">
        <v>50</v>
      </c>
      <c r="N5">
        <v>42</v>
      </c>
      <c r="O5">
        <v>43</v>
      </c>
      <c r="P5" t="s">
        <v>22</v>
      </c>
    </row>
    <row r="6" spans="1:16" x14ac:dyDescent="0.2">
      <c r="A6">
        <v>105</v>
      </c>
      <c r="B6" t="s">
        <v>13</v>
      </c>
      <c r="C6" t="s">
        <v>18</v>
      </c>
      <c r="E6">
        <v>48</v>
      </c>
      <c r="F6">
        <v>46</v>
      </c>
      <c r="G6">
        <v>48</v>
      </c>
      <c r="H6">
        <v>48</v>
      </c>
      <c r="J6">
        <f>SUM(E6:I6)</f>
        <v>190</v>
      </c>
      <c r="K6">
        <f t="shared" si="0"/>
        <v>76</v>
      </c>
      <c r="M6">
        <v>46</v>
      </c>
      <c r="N6">
        <v>48</v>
      </c>
      <c r="O6">
        <v>48</v>
      </c>
      <c r="P6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Views>
    <sheetView rightToLeft="1" tabSelected="1" workbookViewId="0">
      <selection activeCell="E17" sqref="E17"/>
    </sheetView>
  </sheetViews>
  <sheetFormatPr defaultRowHeight="14.25" x14ac:dyDescent="0.2"/>
  <cols>
    <col min="3" max="3" width="14.25" bestFit="1" customWidth="1"/>
  </cols>
  <sheetData>
    <row r="1" spans="1:7" x14ac:dyDescent="0.2">
      <c r="A1" t="s">
        <v>24</v>
      </c>
      <c r="B1" t="s">
        <v>25</v>
      </c>
      <c r="C1" t="s">
        <v>20</v>
      </c>
      <c r="D1" t="s">
        <v>31</v>
      </c>
      <c r="E1" t="s">
        <v>32</v>
      </c>
      <c r="F1" t="s">
        <v>33</v>
      </c>
      <c r="G1" t="s">
        <v>34</v>
      </c>
    </row>
    <row r="2" spans="1:7" x14ac:dyDescent="0.2">
      <c r="A2">
        <v>101</v>
      </c>
      <c r="B2" t="s">
        <v>26</v>
      </c>
      <c r="C2" t="s">
        <v>14</v>
      </c>
      <c r="D2">
        <v>5000</v>
      </c>
      <c r="E2">
        <f>D2*0.1</f>
        <v>500</v>
      </c>
      <c r="F2">
        <f>D2*0.5</f>
        <v>2500</v>
      </c>
      <c r="G2">
        <f>D2-E2+F2</f>
        <v>7000</v>
      </c>
    </row>
    <row r="3" spans="1:7" x14ac:dyDescent="0.2">
      <c r="A3">
        <v>102</v>
      </c>
      <c r="B3" t="s">
        <v>27</v>
      </c>
      <c r="C3" t="s">
        <v>15</v>
      </c>
      <c r="D3">
        <v>7000</v>
      </c>
      <c r="E3">
        <f t="shared" ref="E3:E6" si="0">D3*0.1</f>
        <v>700</v>
      </c>
      <c r="F3">
        <f t="shared" ref="F3:F6" si="1">D3*0.5</f>
        <v>3500</v>
      </c>
      <c r="G3">
        <f t="shared" ref="G3:G6" si="2">D3-E3+F3</f>
        <v>9800</v>
      </c>
    </row>
    <row r="4" spans="1:7" x14ac:dyDescent="0.2">
      <c r="A4">
        <v>103</v>
      </c>
      <c r="B4" t="s">
        <v>28</v>
      </c>
      <c r="C4" t="s">
        <v>16</v>
      </c>
      <c r="D4">
        <v>6000</v>
      </c>
      <c r="E4">
        <f t="shared" si="0"/>
        <v>600</v>
      </c>
      <c r="F4">
        <f t="shared" si="1"/>
        <v>3000</v>
      </c>
      <c r="G4">
        <f t="shared" si="2"/>
        <v>8400</v>
      </c>
    </row>
    <row r="5" spans="1:7" x14ac:dyDescent="0.2">
      <c r="A5">
        <v>104</v>
      </c>
      <c r="B5" t="s">
        <v>29</v>
      </c>
      <c r="C5" t="s">
        <v>17</v>
      </c>
      <c r="D5">
        <v>5500</v>
      </c>
      <c r="E5">
        <f t="shared" si="0"/>
        <v>550</v>
      </c>
      <c r="F5">
        <f t="shared" si="1"/>
        <v>2750</v>
      </c>
      <c r="G5">
        <f t="shared" si="2"/>
        <v>7700</v>
      </c>
    </row>
    <row r="6" spans="1:7" x14ac:dyDescent="0.2">
      <c r="A6">
        <v>105</v>
      </c>
      <c r="B6" t="s">
        <v>30</v>
      </c>
      <c r="C6" t="s">
        <v>18</v>
      </c>
      <c r="D6">
        <v>4900</v>
      </c>
      <c r="E6">
        <f t="shared" si="0"/>
        <v>490</v>
      </c>
      <c r="F6">
        <f t="shared" si="1"/>
        <v>2450</v>
      </c>
      <c r="G6">
        <f t="shared" si="2"/>
        <v>6860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2</vt:i4>
      </vt:variant>
    </vt:vector>
  </HeadingPairs>
  <TitlesOfParts>
    <vt:vector size="2" baseType="lpstr">
      <vt:lpstr>الصف الاول</vt:lpstr>
      <vt:lpstr>الصف الثانى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Abood Nour</dc:creator>
  <cp:lastModifiedBy>Mostafa</cp:lastModifiedBy>
  <dcterms:created xsi:type="dcterms:W3CDTF">2017-02-16T00:16:07Z</dcterms:created>
  <dcterms:modified xsi:type="dcterms:W3CDTF">2026-05-25T09:36:17Z</dcterms:modified>
</cp:coreProperties>
</file>